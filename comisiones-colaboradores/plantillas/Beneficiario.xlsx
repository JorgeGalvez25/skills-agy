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ropbox\MTTO\Reportes Mensuales\Comisiones\2026\202608-Agosto\PorBeneficiario\"/>
    </mc:Choice>
  </mc:AlternateContent>
  <xr:revisionPtr revIDLastSave="0" documentId="8_{6338EB13-C6A2-4D43-8920-96F4998FCF3C}" xr6:coauthVersionLast="47" xr6:coauthVersionMax="47" xr10:uidLastSave="{00000000-0000-0000-0000-000000000000}"/>
  <bookViews>
    <workbookView xWindow="-120" yWindow="-120" windowWidth="38640" windowHeight="21120" xr2:uid="{16441DCB-8065-46EF-850A-10C612FC0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1" l="1"/>
  <c r="E29" i="1"/>
  <c r="J22" i="1"/>
  <c r="J21" i="1"/>
  <c r="J20" i="1"/>
  <c r="J16" i="1"/>
  <c r="J8" i="1"/>
  <c r="I22" i="1"/>
  <c r="I21" i="1"/>
  <c r="I20" i="1"/>
  <c r="I16" i="1"/>
  <c r="I8" i="1"/>
  <c r="G22" i="1"/>
  <c r="G21" i="1"/>
  <c r="G20" i="1"/>
  <c r="G16" i="1"/>
  <c r="G8" i="1"/>
</calcChain>
</file>

<file path=xl/sharedStrings.xml><?xml version="1.0" encoding="utf-8"?>
<sst xmlns="http://schemas.openxmlformats.org/spreadsheetml/2006/main" count="54" uniqueCount="36">
  <si>
    <t>Departamento de Mantenimiento</t>
  </si>
  <si>
    <t>Cálculo de comisiones del mes de agosto de 2026</t>
  </si>
  <si>
    <t>Cambios Externos</t>
  </si>
  <si>
    <t>Factura</t>
  </si>
  <si>
    <t>Fecha</t>
  </si>
  <si>
    <t>Recibo</t>
  </si>
  <si>
    <t>Cliente</t>
  </si>
  <si>
    <t>Concepto</t>
  </si>
  <si>
    <t>Importa Pagado</t>
  </si>
  <si>
    <t>Com.%</t>
  </si>
  <si>
    <t>Importe</t>
  </si>
  <si>
    <t>Jorge Gálvez</t>
  </si>
  <si>
    <t>FI-019210</t>
  </si>
  <si>
    <t>RI-036705</t>
  </si>
  <si>
    <t>100752-DESARROLLADORA MARINA PUERTO ESCO</t>
  </si>
  <si>
    <t>CAMBIO EXTERNO</t>
  </si>
  <si>
    <t>Cambios Internos</t>
  </si>
  <si>
    <t>Vtiger</t>
  </si>
  <si>
    <t>Autorizó</t>
  </si>
  <si>
    <t>Cliente/Descripción</t>
  </si>
  <si>
    <t>Ing. Jorge Orduño</t>
  </si>
  <si>
    <t>IMAGENSOFT</t>
  </si>
  <si>
    <t>TT103813</t>
  </si>
  <si>
    <t>TT103813-IMAGENSOFT-I-GAS-IMPORTACIÓN DE PÓLIZAS</t>
  </si>
  <si>
    <t>TT104041</t>
  </si>
  <si>
    <t>TT104041-IMAGENSOFT-I-GAS-API DE LIQUIDACIONES</t>
  </si>
  <si>
    <t>TT104769</t>
  </si>
  <si>
    <t>TT104769-IMAGENSOFT-DIVERSOS-CODIFICACIÓN Y ENTREGA</t>
  </si>
  <si>
    <t>TT98639</t>
  </si>
  <si>
    <t>TT98639-IMAGENSOFT- IGAS CONVERTIDOR- NUEVA HERRAMIENTA COMPARATIVA PARA JSON (Pago 3 de 3)</t>
  </si>
  <si>
    <t>Resumen de Comisiones</t>
  </si>
  <si>
    <t>CAMBIOS EXTERNOS</t>
  </si>
  <si>
    <t>CAMBIOS INTERNOS</t>
  </si>
  <si>
    <t>Resumen de Comisiones:</t>
  </si>
  <si>
    <t>No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</si>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</sst>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name val="Arial"/>
      <family val="2"/>
    </font>
    <font>
      <b/>
      <sz val="14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9"/>
      <name val="Arial Narrow"/>
      <family val="2"/>
    </font>
    <font>
      <sz val="9"/>
      <color theme="0"/>
      <name val="Segoe UI"/>
      <family val="2"/>
    </font>
    <font>
      <b/>
      <sz val="9"/>
      <color theme="0"/>
      <name val="Segoe UI"/>
      <family val="2"/>
    </font>
    <font>
      <sz val="9"/>
      <name val="Leelawadee"/>
      <family val="2"/>
    </font>
    <font>
      <sz val="11"/>
      <name val="Calibri"/>
      <family val="2"/>
      <scheme val="minor"/>
    </font>
    <font>
      <sz val="10"/>
      <color theme="1"/>
      <name val="Leelawadee"/>
      <family val="2"/>
    </font>
    <font>
      <sz val="9"/>
      <name val="Segoe UI"/>
      <family val="2"/>
    </font>
    <font>
      <sz val="9"/>
      <color theme="1"/>
      <name val="Segoe UI"/>
      <family val="2"/>
    </font>
    <font>
      <sz val="10"/>
      <color indexed="8"/>
      <name val="Segoe UI"/>
      <family val="2"/>
    </font>
    <font>
      <sz val="10"/>
      <name val="Arial"/>
    </font>
    <font>
      <sz val="11"/>
      <color theme="1"/>
      <name val="Calibri"/>
    </font>
    <font>
      <sz val="9"/>
      <color theme="1"/>
      <name val="Leelawadee"/>
      <family val="2"/>
    </font>
    <font>
      <b/>
      <sz val="9"/>
      <color theme="0"/>
      <name val="Leelawadee"/>
      <family val="2"/>
    </font>
    <font>
      <b/>
      <sz val="10"/>
      <color theme="0"/>
      <name val="Segoe UI"/>
      <family val="2"/>
    </font>
    <font>
      <b/>
      <sz val="10"/>
      <color indexed="8"/>
      <name val="Segoe UI"/>
      <family val="2"/>
    </font>
    <font>
      <b/>
      <sz val="10"/>
      <color theme="1"/>
      <name val="Segoe UI"/>
      <family val="2"/>
    </font>
    <font>
      <b/>
      <u/>
      <sz val="10"/>
      <name val="Segoe UI"/>
      <family val="2"/>
    </font>
    <font>
      <sz val="10"/>
      <color theme="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hair">
        <color theme="2" tint="-0.249977111117893"/>
      </left>
      <right/>
      <top style="hair">
        <color theme="2" tint="-0.249977111117893"/>
      </top>
      <bottom style="hair">
        <color theme="2" tint="-0.249977111117893"/>
      </bottom>
      <diagonal/>
    </border>
    <border>
      <left/>
      <right style="hair">
        <color theme="2" tint="-0.249977111117893"/>
      </right>
      <top style="hair">
        <color theme="2" tint="-0.249977111117893"/>
      </top>
      <bottom style="hair">
        <color theme="2" tint="-0.249977111117893"/>
      </bottom>
      <diagonal/>
    </border>
    <border>
      <left style="hair">
        <color theme="2" tint="-0.249977111117893"/>
      </left>
      <right style="hair">
        <color theme="2" tint="-0.249977111117893"/>
      </right>
      <top style="hair">
        <color theme="2" tint="-0.249977111117893"/>
      </top>
      <bottom style="hair">
        <color theme="2" tint="-0.249977111117893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9" fontId="7" fillId="0" borderId="0" applyFont="0" applyFill="0" applyBorder="0" applyAlignment="0" applyProtection="0"/>
    <xf numFmtId="0" fontId="7" fillId="0" borderId="0"/>
  </cellStyleXfs>
  <cellXfs count="118">
    <xf numFmtId="0" fontId="0" fillId="0" borderId="0" xfId="0"/>
    <xf numFmtId="0" fontId="4" fillId="2" borderId="0" xfId="4" applyFont="1" applyFill="1" applyAlignment="1">
      <alignment vertical="top"/>
    </xf>
    <xf numFmtId="0" fontId="5" fillId="2" borderId="0" xfId="5" applyFont="1" applyFill="1" applyAlignment="1">
      <alignment horizontal="center" vertical="top"/>
    </xf>
    <xf numFmtId="14" fontId="6" fillId="2" borderId="0" xfId="0" applyNumberFormat="1" applyFont="1" applyFill="1" applyAlignment="1">
      <alignment horizontal="center" vertical="top"/>
    </xf>
    <xf numFmtId="0" fontId="6" fillId="2" borderId="0" xfId="0" applyFont="1" applyFill="1" applyAlignment="1">
      <alignment horizontal="right" vertical="top" wrapText="1"/>
    </xf>
    <xf numFmtId="0" fontId="6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center" vertical="center" wrapText="1"/>
    </xf>
    <xf numFmtId="43" fontId="5" fillId="2" borderId="0" xfId="1" applyFont="1" applyFill="1" applyAlignment="1">
      <alignment horizontal="center" vertical="center"/>
    </xf>
    <xf numFmtId="0" fontId="5" fillId="2" borderId="0" xfId="5" applyFont="1" applyFill="1" applyAlignment="1">
      <alignment horizontal="center" vertical="center"/>
    </xf>
    <xf numFmtId="43" fontId="6" fillId="2" borderId="0" xfId="1" applyFont="1" applyFill="1" applyAlignment="1">
      <alignment horizontal="right" vertical="center"/>
    </xf>
    <xf numFmtId="0" fontId="5" fillId="2" borderId="1" xfId="4" applyFont="1" applyFill="1" applyBorder="1" applyAlignment="1">
      <alignment horizontal="left" vertical="center"/>
    </xf>
    <xf numFmtId="0" fontId="5" fillId="2" borderId="1" xfId="5" applyFont="1" applyFill="1" applyBorder="1" applyAlignment="1">
      <alignment horizontal="center" vertical="top"/>
    </xf>
    <xf numFmtId="14" fontId="5" fillId="2" borderId="1" xfId="4" applyNumberFormat="1" applyFont="1" applyFill="1" applyBorder="1" applyAlignment="1">
      <alignment vertical="top"/>
    </xf>
    <xf numFmtId="0" fontId="6" fillId="2" borderId="1" xfId="0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center" vertical="center"/>
    </xf>
    <xf numFmtId="0" fontId="5" fillId="2" borderId="0" xfId="5" applyFont="1" applyFill="1" applyAlignment="1">
      <alignment wrapText="1"/>
    </xf>
    <xf numFmtId="14" fontId="5" fillId="0" borderId="0" xfId="4" applyNumberFormat="1" applyFont="1" applyAlignment="1">
      <alignment horizontal="center" vertical="top"/>
    </xf>
    <xf numFmtId="14" fontId="6" fillId="2" borderId="0" xfId="0" applyNumberFormat="1" applyFont="1" applyFill="1" applyAlignment="1">
      <alignment horizontal="center" vertical="center" wrapText="1"/>
    </xf>
    <xf numFmtId="9" fontId="8" fillId="4" borderId="5" xfId="6" applyFont="1" applyFill="1" applyBorder="1" applyAlignment="1">
      <alignment horizontal="center" vertical="center"/>
    </xf>
    <xf numFmtId="14" fontId="8" fillId="4" borderId="5" xfId="6" applyNumberFormat="1" applyFont="1" applyFill="1" applyBorder="1" applyAlignment="1">
      <alignment horizontal="center" vertical="center"/>
    </xf>
    <xf numFmtId="9" fontId="8" fillId="4" borderId="5" xfId="6" applyFont="1" applyFill="1" applyBorder="1" applyAlignment="1">
      <alignment horizontal="center" vertical="center" wrapText="1"/>
    </xf>
    <xf numFmtId="0" fontId="8" fillId="4" borderId="5" xfId="6" applyNumberFormat="1" applyFont="1" applyFill="1" applyBorder="1" applyAlignment="1">
      <alignment horizontal="center" vertical="center" wrapText="1"/>
    </xf>
    <xf numFmtId="43" fontId="8" fillId="4" borderId="5" xfId="1" applyFont="1" applyFill="1" applyBorder="1" applyAlignment="1">
      <alignment horizontal="center" vertical="center" wrapText="1"/>
    </xf>
    <xf numFmtId="43" fontId="8" fillId="4" borderId="5" xfId="1" applyFont="1" applyFill="1" applyBorder="1" applyAlignment="1">
      <alignment horizontal="center" vertical="center"/>
    </xf>
    <xf numFmtId="0" fontId="9" fillId="5" borderId="6" xfId="5" applyFont="1" applyFill="1" applyBorder="1" applyAlignment="1">
      <alignment horizontal="center" vertical="center"/>
    </xf>
    <xf numFmtId="9" fontId="8" fillId="6" borderId="5" xfId="6" applyFont="1" applyFill="1" applyBorder="1" applyAlignment="1">
      <alignment horizontal="center" vertical="center" wrapText="1"/>
    </xf>
    <xf numFmtId="0" fontId="10" fillId="2" borderId="0" xfId="5" applyFont="1" applyFill="1" applyAlignment="1">
      <alignment horizontal="center" vertical="center" wrapText="1"/>
    </xf>
    <xf numFmtId="0" fontId="11" fillId="2" borderId="7" xfId="7" applyFont="1" applyFill="1" applyBorder="1" applyAlignment="1">
      <alignment horizontal="left" vertical="top"/>
    </xf>
    <xf numFmtId="14" fontId="1" fillId="0" borderId="0" xfId="0" applyNumberFormat="1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" fontId="1" fillId="0" borderId="0" xfId="0" applyNumberFormat="1" applyFont="1" applyAlignment="1">
      <alignment vertical="top"/>
    </xf>
    <xf numFmtId="9" fontId="5" fillId="2" borderId="7" xfId="3" applyFont="1" applyFill="1" applyBorder="1" applyAlignment="1">
      <alignment horizontal="center" vertical="top"/>
    </xf>
    <xf numFmtId="43" fontId="12" fillId="2" borderId="7" xfId="1" applyFont="1" applyFill="1" applyBorder="1" applyAlignment="1">
      <alignment horizontal="right" vertical="top" wrapText="1"/>
    </xf>
    <xf numFmtId="43" fontId="10" fillId="2" borderId="7" xfId="7" applyNumberFormat="1" applyFont="1" applyFill="1" applyBorder="1" applyAlignment="1">
      <alignment vertical="center" wrapText="1"/>
    </xf>
    <xf numFmtId="0" fontId="13" fillId="7" borderId="7" xfId="7" applyFont="1" applyFill="1" applyBorder="1" applyAlignment="1">
      <alignment vertical="top" wrapText="1"/>
    </xf>
    <xf numFmtId="14" fontId="13" fillId="7" borderId="7" xfId="7" applyNumberFormat="1" applyFont="1" applyFill="1" applyBorder="1" applyAlignment="1">
      <alignment horizontal="center" vertical="top" wrapText="1"/>
    </xf>
    <xf numFmtId="0" fontId="14" fillId="7" borderId="7" xfId="7" applyFont="1" applyFill="1" applyBorder="1" applyAlignment="1">
      <alignment vertical="center" wrapText="1"/>
    </xf>
    <xf numFmtId="0" fontId="14" fillId="7" borderId="7" xfId="7" applyFont="1" applyFill="1" applyBorder="1" applyAlignment="1">
      <alignment horizontal="center" vertical="center" wrapText="1"/>
    </xf>
    <xf numFmtId="43" fontId="9" fillId="7" borderId="7" xfId="1" applyFont="1" applyFill="1" applyBorder="1" applyAlignment="1">
      <alignment vertical="center" wrapText="1"/>
    </xf>
    <xf numFmtId="0" fontId="9" fillId="7" borderId="7" xfId="7" applyFont="1" applyFill="1" applyBorder="1" applyAlignment="1">
      <alignment horizontal="center" vertical="center" wrapText="1"/>
    </xf>
    <xf numFmtId="0" fontId="15" fillId="2" borderId="0" xfId="5" applyFont="1" applyFill="1" applyAlignment="1" applyProtection="1">
      <alignment horizontal="center" vertical="top"/>
      <protection locked="0"/>
    </xf>
    <xf numFmtId="14" fontId="15" fillId="2" borderId="0" xfId="5" applyNumberFormat="1" applyFont="1" applyFill="1" applyAlignment="1" applyProtection="1">
      <alignment horizontal="center" vertical="top"/>
      <protection locked="0"/>
    </xf>
    <xf numFmtId="15" fontId="15" fillId="2" borderId="0" xfId="5" applyNumberFormat="1" applyFont="1" applyFill="1" applyAlignment="1" applyProtection="1">
      <alignment horizontal="center" vertical="top" wrapText="1"/>
      <protection locked="0"/>
    </xf>
    <xf numFmtId="0" fontId="15" fillId="2" borderId="0" xfId="5" applyFont="1" applyFill="1" applyAlignment="1" applyProtection="1">
      <alignment horizontal="center" vertical="center" wrapText="1"/>
      <protection locked="0"/>
    </xf>
    <xf numFmtId="43" fontId="15" fillId="2" borderId="0" xfId="1" applyFont="1" applyFill="1" applyAlignment="1" applyProtection="1">
      <alignment horizontal="center" vertical="center"/>
      <protection locked="0"/>
    </xf>
    <xf numFmtId="0" fontId="15" fillId="2" borderId="0" xfId="5" applyFont="1" applyFill="1" applyAlignment="1" applyProtection="1">
      <alignment horizontal="center" vertical="center"/>
      <protection locked="0"/>
    </xf>
    <xf numFmtId="0" fontId="5" fillId="2" borderId="0" xfId="5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9" fontId="5" fillId="2" borderId="7" xfId="3" applyFont="1" applyFill="1" applyBorder="1" applyAlignment="1">
      <alignment horizontal="center" vertical="center"/>
    </xf>
    <xf numFmtId="0" fontId="16" fillId="8" borderId="8" xfId="7" applyFont="1" applyFill="1" applyBorder="1" applyAlignment="1">
      <alignment horizontal="center" vertical="top"/>
    </xf>
    <xf numFmtId="14" fontId="0" fillId="0" borderId="0" xfId="0" applyNumberFormat="1" applyAlignment="1">
      <alignment vertical="top"/>
    </xf>
    <xf numFmtId="0" fontId="17" fillId="0" borderId="0" xfId="0" applyFont="1" applyAlignment="1">
      <alignment horizontal="left" vertical="top" wrapText="1"/>
    </xf>
    <xf numFmtId="44" fontId="0" fillId="0" borderId="0" xfId="0" applyNumberFormat="1" applyAlignment="1">
      <alignment vertical="center"/>
    </xf>
    <xf numFmtId="43" fontId="5" fillId="2" borderId="7" xfId="1" applyFont="1" applyFill="1" applyBorder="1" applyAlignment="1">
      <alignment horizontal="left" vertical="center"/>
    </xf>
    <xf numFmtId="14" fontId="3" fillId="2" borderId="7" xfId="7" applyNumberFormat="1" applyFont="1" applyFill="1" applyBorder="1" applyAlignment="1">
      <alignment horizontal="center" vertical="top"/>
    </xf>
    <xf numFmtId="44" fontId="1" fillId="0" borderId="0" xfId="2" applyFont="1" applyAlignment="1">
      <alignment vertical="center"/>
    </xf>
    <xf numFmtId="0" fontId="10" fillId="7" borderId="7" xfId="7" applyFont="1" applyFill="1" applyBorder="1" applyAlignment="1">
      <alignment vertical="top" wrapText="1"/>
    </xf>
    <xf numFmtId="14" fontId="10" fillId="7" borderId="7" xfId="7" applyNumberFormat="1" applyFont="1" applyFill="1" applyBorder="1" applyAlignment="1">
      <alignment horizontal="center" vertical="top" wrapText="1"/>
    </xf>
    <xf numFmtId="0" fontId="18" fillId="7" borderId="7" xfId="7" applyFont="1" applyFill="1" applyBorder="1" applyAlignment="1">
      <alignment vertical="center" wrapText="1"/>
    </xf>
    <xf numFmtId="0" fontId="18" fillId="7" borderId="7" xfId="7" applyFont="1" applyFill="1" applyBorder="1" applyAlignment="1">
      <alignment horizontal="center" vertical="center" wrapText="1"/>
    </xf>
    <xf numFmtId="43" fontId="19" fillId="7" borderId="7" xfId="1" applyFont="1" applyFill="1" applyBorder="1" applyAlignment="1">
      <alignment vertical="center" wrapText="1"/>
    </xf>
    <xf numFmtId="0" fontId="19" fillId="7" borderId="7" xfId="7" applyFont="1" applyFill="1" applyBorder="1" applyAlignment="1">
      <alignment horizontal="center" vertical="center" wrapText="1"/>
    </xf>
    <xf numFmtId="14" fontId="8" fillId="4" borderId="5" xfId="6" applyNumberFormat="1" applyFont="1" applyFill="1" applyBorder="1" applyAlignment="1">
      <alignment horizontal="center" vertical="center" wrapText="1"/>
    </xf>
    <xf numFmtId="0" fontId="6" fillId="2" borderId="9" xfId="7" applyFont="1" applyFill="1" applyBorder="1" applyAlignment="1">
      <alignment horizontal="center" vertical="top" wrapText="1"/>
    </xf>
    <xf numFmtId="14" fontId="6" fillId="2" borderId="10" xfId="7" applyNumberFormat="1" applyFont="1" applyFill="1" applyBorder="1" applyAlignment="1">
      <alignment horizontal="center" vertical="top" wrapText="1"/>
    </xf>
    <xf numFmtId="0" fontId="6" fillId="2" borderId="9" xfId="7" applyFont="1" applyFill="1" applyBorder="1" applyAlignment="1">
      <alignment horizontal="center" vertical="center" wrapText="1"/>
    </xf>
    <xf numFmtId="0" fontId="6" fillId="2" borderId="10" xfId="7" applyFont="1" applyFill="1" applyBorder="1" applyAlignment="1">
      <alignment horizontal="center" vertical="top" wrapText="1"/>
    </xf>
    <xf numFmtId="43" fontId="5" fillId="2" borderId="11" xfId="1" applyFont="1" applyFill="1" applyBorder="1" applyAlignment="1">
      <alignment vertical="center"/>
    </xf>
    <xf numFmtId="9" fontId="5" fillId="2" borderId="11" xfId="7" applyNumberFormat="1" applyFont="1" applyFill="1" applyBorder="1" applyAlignment="1">
      <alignment horizontal="center" vertical="center"/>
    </xf>
    <xf numFmtId="0" fontId="5" fillId="2" borderId="12" xfId="7" applyFont="1" applyFill="1" applyBorder="1" applyAlignment="1">
      <alignment horizontal="center" vertical="top"/>
    </xf>
    <xf numFmtId="14" fontId="5" fillId="2" borderId="13" xfId="7" applyNumberFormat="1" applyFont="1" applyFill="1" applyBorder="1" applyAlignment="1">
      <alignment horizontal="center" vertical="top"/>
    </xf>
    <xf numFmtId="0" fontId="5" fillId="2" borderId="14" xfId="7" applyFont="1" applyFill="1" applyBorder="1" applyAlignment="1">
      <alignment horizontal="center" vertical="top"/>
    </xf>
    <xf numFmtId="0" fontId="5" fillId="7" borderId="15" xfId="7" applyFont="1" applyFill="1" applyBorder="1" applyAlignment="1">
      <alignment vertical="top" wrapText="1"/>
    </xf>
    <xf numFmtId="14" fontId="5" fillId="7" borderId="15" xfId="7" applyNumberFormat="1" applyFont="1" applyFill="1" applyBorder="1" applyAlignment="1">
      <alignment horizontal="center" vertical="top" wrapText="1"/>
    </xf>
    <xf numFmtId="0" fontId="2" fillId="7" borderId="15" xfId="7" applyFont="1" applyFill="1" applyBorder="1" applyAlignment="1">
      <alignment vertical="center" wrapText="1"/>
    </xf>
    <xf numFmtId="0" fontId="2" fillId="7" borderId="15" xfId="7" applyFont="1" applyFill="1" applyBorder="1" applyAlignment="1">
      <alignment horizontal="center" vertical="center" wrapText="1"/>
    </xf>
    <xf numFmtId="43" fontId="20" fillId="7" borderId="15" xfId="1" applyFont="1" applyFill="1" applyBorder="1" applyAlignment="1">
      <alignment vertical="center" wrapText="1"/>
    </xf>
    <xf numFmtId="9" fontId="20" fillId="7" borderId="15" xfId="7" applyNumberFormat="1" applyFont="1" applyFill="1" applyBorder="1" applyAlignment="1">
      <alignment horizontal="center" vertical="center" wrapText="1"/>
    </xf>
    <xf numFmtId="0" fontId="21" fillId="2" borderId="0" xfId="5" applyFont="1" applyFill="1" applyAlignment="1" applyProtection="1">
      <alignment horizontal="center" vertical="top"/>
      <protection locked="0"/>
    </xf>
    <xf numFmtId="14" fontId="21" fillId="2" borderId="0" xfId="5" applyNumberFormat="1" applyFont="1" applyFill="1" applyAlignment="1" applyProtection="1">
      <alignment horizontal="center" vertical="top"/>
      <protection locked="0"/>
    </xf>
    <xf numFmtId="15" fontId="21" fillId="2" borderId="0" xfId="5" applyNumberFormat="1" applyFont="1" applyFill="1" applyAlignment="1" applyProtection="1">
      <alignment horizontal="center" vertical="top" wrapText="1"/>
      <protection locked="0"/>
    </xf>
    <xf numFmtId="0" fontId="21" fillId="2" borderId="0" xfId="5" applyFont="1" applyFill="1" applyAlignment="1" applyProtection="1">
      <alignment horizontal="center" vertical="center" wrapText="1"/>
      <protection locked="0"/>
    </xf>
    <xf numFmtId="43" fontId="21" fillId="2" borderId="0" xfId="1" applyFont="1" applyFill="1" applyAlignment="1" applyProtection="1">
      <alignment horizontal="center" vertical="center"/>
      <protection locked="0"/>
    </xf>
    <xf numFmtId="0" fontId="21" fillId="2" borderId="0" xfId="5" applyFont="1" applyFill="1" applyAlignment="1" applyProtection="1">
      <alignment horizontal="center" vertical="center"/>
      <protection locked="0"/>
    </xf>
    <xf numFmtId="0" fontId="2" fillId="2" borderId="0" xfId="0" applyFont="1" applyFill="1" applyAlignment="1">
      <alignment vertical="top"/>
    </xf>
    <xf numFmtId="14" fontId="2" fillId="2" borderId="0" xfId="1" applyNumberFormat="1" applyFont="1" applyFill="1" applyAlignment="1">
      <alignment vertical="top"/>
    </xf>
    <xf numFmtId="43" fontId="2" fillId="2" borderId="0" xfId="1" applyFont="1" applyFill="1" applyAlignment="1">
      <alignment vertical="top" wrapText="1"/>
    </xf>
    <xf numFmtId="43" fontId="2" fillId="2" borderId="0" xfId="1" applyFont="1" applyFill="1" applyAlignment="1">
      <alignment vertical="center" wrapText="1"/>
    </xf>
    <xf numFmtId="0" fontId="2" fillId="2" borderId="0" xfId="1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vertical="center"/>
    </xf>
    <xf numFmtId="0" fontId="22" fillId="2" borderId="0" xfId="0" applyFont="1" applyFill="1" applyAlignment="1">
      <alignment vertical="center" wrapText="1"/>
    </xf>
    <xf numFmtId="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3" fillId="2" borderId="0" xfId="5" applyFont="1" applyFill="1" applyAlignment="1">
      <alignment horizontal="center" vertical="center" wrapText="1"/>
    </xf>
    <xf numFmtId="0" fontId="5" fillId="2" borderId="0" xfId="5" applyFont="1" applyFill="1" applyAlignment="1">
      <alignment vertical="top"/>
    </xf>
    <xf numFmtId="0" fontId="24" fillId="10" borderId="5" xfId="5" applyFont="1" applyFill="1" applyBorder="1" applyAlignment="1">
      <alignment horizontal="center" vertical="top"/>
    </xf>
    <xf numFmtId="0" fontId="5" fillId="2" borderId="19" xfId="5" applyFont="1" applyFill="1" applyBorder="1" applyAlignment="1">
      <alignment horizontal="center" vertical="top"/>
    </xf>
    <xf numFmtId="14" fontId="5" fillId="2" borderId="19" xfId="5" applyNumberFormat="1" applyFont="1" applyFill="1" applyBorder="1" applyAlignment="1">
      <alignment horizontal="left" vertical="top"/>
    </xf>
    <xf numFmtId="15" fontId="5" fillId="2" borderId="20" xfId="5" applyNumberFormat="1" applyFont="1" applyFill="1" applyBorder="1" applyAlignment="1">
      <alignment horizontal="center" vertical="top" wrapText="1"/>
    </xf>
    <xf numFmtId="43" fontId="5" fillId="2" borderId="20" xfId="1" applyFont="1" applyFill="1" applyBorder="1" applyAlignment="1">
      <alignment horizontal="center" vertical="center" wrapText="1"/>
    </xf>
    <xf numFmtId="43" fontId="5" fillId="2" borderId="0" xfId="5" applyNumberFormat="1" applyFont="1" applyFill="1" applyAlignment="1">
      <alignment horizontal="center" vertical="center"/>
    </xf>
    <xf numFmtId="43" fontId="19" fillId="7" borderId="7" xfId="7" applyNumberFormat="1" applyFont="1" applyFill="1" applyBorder="1" applyAlignment="1">
      <alignment horizontal="center" vertical="top" wrapText="1"/>
    </xf>
    <xf numFmtId="43" fontId="5" fillId="2" borderId="11" xfId="7" applyNumberFormat="1" applyFont="1" applyFill="1" applyBorder="1" applyAlignment="1">
      <alignment horizontal="center" wrapText="1"/>
    </xf>
    <xf numFmtId="43" fontId="20" fillId="7" borderId="15" xfId="7" applyNumberFormat="1" applyFont="1" applyFill="1" applyBorder="1" applyAlignment="1">
      <alignment horizontal="center" vertical="top" wrapText="1"/>
    </xf>
    <xf numFmtId="0" fontId="24" fillId="10" borderId="21" xfId="5" applyFont="1" applyFill="1" applyBorder="1" applyAlignment="1">
      <alignment horizontal="center" vertical="top"/>
    </xf>
    <xf numFmtId="14" fontId="24" fillId="10" borderId="19" xfId="5" applyNumberFormat="1" applyFont="1" applyFill="1" applyBorder="1" applyAlignment="1">
      <alignment horizontal="center" vertical="top"/>
    </xf>
    <xf numFmtId="15" fontId="24" fillId="10" borderId="20" xfId="5" applyNumberFormat="1" applyFont="1" applyFill="1" applyBorder="1" applyAlignment="1">
      <alignment horizontal="center" vertical="top" wrapText="1"/>
    </xf>
    <xf numFmtId="44" fontId="20" fillId="10" borderId="21" xfId="2" applyFont="1" applyFill="1" applyBorder="1" applyAlignment="1">
      <alignment horizontal="center" vertical="center" wrapText="1"/>
    </xf>
    <xf numFmtId="0" fontId="4" fillId="3" borderId="2" xfId="5" applyFont="1" applyFill="1" applyBorder="1" applyAlignment="1">
      <alignment horizontal="center" vertical="center"/>
    </xf>
    <xf numFmtId="0" fontId="4" fillId="3" borderId="3" xfId="5" applyFont="1" applyFill="1" applyBorder="1" applyAlignment="1">
      <alignment horizontal="center" vertical="center"/>
    </xf>
    <xf numFmtId="0" fontId="4" fillId="3" borderId="4" xfId="5" applyFont="1" applyFill="1" applyBorder="1" applyAlignment="1">
      <alignment horizontal="center" vertical="center"/>
    </xf>
    <xf numFmtId="0" fontId="6" fillId="9" borderId="16" xfId="5" applyFont="1" applyFill="1" applyBorder="1" applyAlignment="1">
      <alignment horizontal="left" vertical="top"/>
    </xf>
    <xf numFmtId="14" fontId="24" fillId="10" borderId="17" xfId="5" applyNumberFormat="1" applyFont="1" applyFill="1" applyBorder="1" applyAlignment="1">
      <alignment horizontal="center" vertical="top"/>
    </xf>
    <xf numFmtId="14" fontId="24" fillId="10" borderId="18" xfId="5" applyNumberFormat="1" applyFont="1" applyFill="1" applyBorder="1" applyAlignment="1">
      <alignment horizontal="center" vertical="top"/>
    </xf>
  </cellXfs>
  <cellStyles count="8">
    <cellStyle name="Millares" xfId="1" builtinId="3"/>
    <cellStyle name="Moneda" xfId="2" builtinId="4"/>
    <cellStyle name="Normal" xfId="0" builtinId="0"/>
    <cellStyle name="Normal 2 2" xfId="4" xr:uid="{7A57F2A2-6068-41FD-94F9-0E652445EA90}"/>
    <cellStyle name="Normal 4" xfId="7" xr:uid="{3886155D-3A59-4090-86F1-4C56B3A54495}"/>
    <cellStyle name="Normal 5 2" xfId="5" xr:uid="{A07C507C-860E-4DF3-A5AA-2B33BA69FC86}"/>
    <cellStyle name="Porcentaje" xfId="3" builtinId="5"/>
    <cellStyle name="Porcentual 3 2" xfId="6" xr:uid="{5D2EA79F-ED0A-44D7-B4DB-769394D43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5EAC-F41F-413C-B555-B5C1FDD216C0}">
  <dimension ref="A1:J30"/>
  <sheetViews>
    <sheetView tabSelected="1" workbookViewId="0">
      <selection activeCell="F17" sqref="F17"/>
    </sheetView>
  </sheetViews>
  <sheetFormatPr baseColWidth="10" defaultRowHeight="15" x14ac:dyDescent="0.25"/>
  <cols>
    <col min="5" max="5" width="23.85546875" customWidth="1"/>
    <col min="6" max="6" width="71.7109375" customWidth="1"/>
    <col min="7" max="7" width="12.5703125" bestFit="1" customWidth="1"/>
  </cols>
  <sheetData>
    <row r="1" spans="1:10" ht="20.25" x14ac:dyDescent="0.25">
      <c r="A1" s="1" t="s">
        <v>0</v>
      </c>
      <c r="B1" s="2"/>
      <c r="C1" s="3"/>
      <c r="D1" s="4"/>
      <c r="E1" s="5"/>
      <c r="F1" s="6"/>
      <c r="G1" s="7"/>
      <c r="H1" s="8"/>
      <c r="I1" s="9"/>
      <c r="J1" s="16"/>
    </row>
    <row r="2" spans="1:10" x14ac:dyDescent="0.25">
      <c r="A2" s="10" t="s">
        <v>1</v>
      </c>
      <c r="B2" s="11"/>
      <c r="C2" s="12"/>
      <c r="D2" s="13"/>
      <c r="E2" s="14"/>
      <c r="F2" s="6"/>
      <c r="G2" s="9"/>
      <c r="H2" s="15"/>
      <c r="I2" s="7"/>
      <c r="J2" s="16"/>
    </row>
    <row r="3" spans="1:10" x14ac:dyDescent="0.25">
      <c r="A3" s="16"/>
      <c r="B3" s="6"/>
      <c r="C3" s="17"/>
      <c r="D3" s="6"/>
      <c r="E3" s="6"/>
      <c r="F3" s="6"/>
      <c r="G3" s="7"/>
      <c r="H3" s="8"/>
      <c r="I3" s="7"/>
      <c r="J3" s="16"/>
    </row>
    <row r="4" spans="1:10" x14ac:dyDescent="0.25">
      <c r="A4" s="16"/>
      <c r="B4" s="6"/>
      <c r="C4" s="18"/>
      <c r="D4" s="6"/>
      <c r="E4" s="6"/>
      <c r="F4" s="6"/>
      <c r="G4" s="7"/>
      <c r="H4" s="8"/>
      <c r="I4" s="7"/>
      <c r="J4" s="16"/>
    </row>
    <row r="5" spans="1:10" ht="20.25" x14ac:dyDescent="0.25">
      <c r="A5" s="16"/>
      <c r="B5" s="112" t="s">
        <v>2</v>
      </c>
      <c r="C5" s="113"/>
      <c r="D5" s="113"/>
      <c r="E5" s="113"/>
      <c r="F5" s="113"/>
      <c r="G5" s="113"/>
      <c r="H5" s="113"/>
      <c r="I5" s="114"/>
      <c r="J5" s="25">
        <v>1</v>
      </c>
    </row>
    <row r="6" spans="1:10" ht="24" x14ac:dyDescent="0.25">
      <c r="A6" s="16"/>
      <c r="B6" s="19" t="s">
        <v>3</v>
      </c>
      <c r="C6" s="20" t="s">
        <v>4</v>
      </c>
      <c r="D6" s="21" t="s">
        <v>5</v>
      </c>
      <c r="E6" s="21" t="s">
        <v>6</v>
      </c>
      <c r="F6" s="22" t="s">
        <v>7</v>
      </c>
      <c r="G6" s="23" t="s">
        <v>8</v>
      </c>
      <c r="H6" s="19" t="s">
        <v>9</v>
      </c>
      <c r="I6" s="24" t="s">
        <v>10</v>
      </c>
      <c r="J6" s="26" t="s">
        <v>11</v>
      </c>
    </row>
    <row r="7" spans="1:10" ht="45" x14ac:dyDescent="0.25">
      <c r="A7" s="27"/>
      <c r="B7" s="28" t="s">
        <v>12</v>
      </c>
      <c r="C7" s="29">
        <v>46241</v>
      </c>
      <c r="D7" s="30" t="s">
        <v>13</v>
      </c>
      <c r="E7" s="31" t="s">
        <v>14</v>
      </c>
      <c r="F7" s="31" t="s">
        <v>15</v>
      </c>
      <c r="G7" s="32">
        <v>22052.400000000001</v>
      </c>
      <c r="H7" s="33">
        <v>0.1</v>
      </c>
      <c r="I7" s="34">
        <v>2205.2400000000002</v>
      </c>
      <c r="J7" s="35">
        <v>330.786</v>
      </c>
    </row>
    <row r="8" spans="1:10" x14ac:dyDescent="0.25">
      <c r="A8" s="16"/>
      <c r="B8" s="36"/>
      <c r="C8" s="37"/>
      <c r="D8" s="36"/>
      <c r="E8" s="38"/>
      <c r="F8" s="39"/>
      <c r="G8" s="40">
        <f>SUM(G7:G7)</f>
        <v>22052.400000000001</v>
      </c>
      <c r="H8" s="41"/>
      <c r="I8" s="40">
        <f>SUM(I7:I7)</f>
        <v>2205.2400000000002</v>
      </c>
      <c r="J8" s="40">
        <f>SUM(J7:J7)</f>
        <v>330.786</v>
      </c>
    </row>
    <row r="9" spans="1:10" x14ac:dyDescent="0.25">
      <c r="A9" s="16"/>
      <c r="B9" s="42"/>
      <c r="C9" s="43"/>
      <c r="D9" s="44"/>
      <c r="E9" s="45"/>
      <c r="F9" s="45"/>
      <c r="G9" s="46"/>
      <c r="H9" s="47"/>
      <c r="I9" s="46"/>
      <c r="J9" s="16"/>
    </row>
    <row r="10" spans="1:10" ht="20.25" x14ac:dyDescent="0.25">
      <c r="A10" s="16"/>
      <c r="B10" s="112" t="s">
        <v>16</v>
      </c>
      <c r="C10" s="113"/>
      <c r="D10" s="113"/>
      <c r="E10" s="113"/>
      <c r="F10" s="113"/>
      <c r="G10" s="113"/>
      <c r="H10" s="113"/>
      <c r="I10" s="114"/>
      <c r="J10" s="25">
        <v>1</v>
      </c>
    </row>
    <row r="11" spans="1:10" x14ac:dyDescent="0.25">
      <c r="A11" s="16"/>
      <c r="B11" s="19" t="s">
        <v>17</v>
      </c>
      <c r="C11" s="20" t="s">
        <v>4</v>
      </c>
      <c r="D11" s="21" t="s">
        <v>18</v>
      </c>
      <c r="E11" s="21" t="s">
        <v>19</v>
      </c>
      <c r="F11" s="22" t="s">
        <v>7</v>
      </c>
      <c r="G11" s="23" t="s">
        <v>10</v>
      </c>
      <c r="H11" s="19" t="s">
        <v>9</v>
      </c>
      <c r="I11" s="24" t="s">
        <v>10</v>
      </c>
      <c r="J11" s="26" t="s">
        <v>11</v>
      </c>
    </row>
    <row r="12" spans="1:10" ht="30" x14ac:dyDescent="0.25">
      <c r="A12" s="16"/>
      <c r="B12" s="51" t="s">
        <v>22</v>
      </c>
      <c r="C12" s="52">
        <v>46240</v>
      </c>
      <c r="D12" s="49" t="s">
        <v>20</v>
      </c>
      <c r="E12" s="53" t="s">
        <v>21</v>
      </c>
      <c r="F12" s="49" t="s">
        <v>23</v>
      </c>
      <c r="G12" s="54">
        <v>8395.2000000000007</v>
      </c>
      <c r="H12" s="50">
        <v>0.15</v>
      </c>
      <c r="I12" s="55">
        <v>1259.28</v>
      </c>
      <c r="J12" s="35">
        <v>314.82</v>
      </c>
    </row>
    <row r="13" spans="1:10" ht="30" x14ac:dyDescent="0.25">
      <c r="A13" s="16"/>
      <c r="B13" s="51" t="s">
        <v>24</v>
      </c>
      <c r="C13" s="52">
        <v>46220</v>
      </c>
      <c r="D13" s="49" t="s">
        <v>20</v>
      </c>
      <c r="E13" s="31" t="s">
        <v>21</v>
      </c>
      <c r="F13" s="49" t="s">
        <v>25</v>
      </c>
      <c r="G13" s="54">
        <v>4293</v>
      </c>
      <c r="H13" s="50">
        <v>0.15</v>
      </c>
      <c r="I13" s="55">
        <v>643.94999999999993</v>
      </c>
      <c r="J13" s="35">
        <v>160.98749999999998</v>
      </c>
    </row>
    <row r="14" spans="1:10" ht="30" x14ac:dyDescent="0.25">
      <c r="A14" s="16"/>
      <c r="B14" s="56" t="s">
        <v>26</v>
      </c>
      <c r="C14" s="52">
        <v>46239</v>
      </c>
      <c r="D14" s="49" t="s">
        <v>20</v>
      </c>
      <c r="E14" s="31" t="s">
        <v>21</v>
      </c>
      <c r="F14" s="49" t="s">
        <v>27</v>
      </c>
      <c r="G14" s="57">
        <v>7155</v>
      </c>
      <c r="H14" s="50">
        <v>0.15</v>
      </c>
      <c r="I14" s="55">
        <v>1073.25</v>
      </c>
      <c r="J14" s="35">
        <v>268.3125</v>
      </c>
    </row>
    <row r="15" spans="1:10" ht="30" x14ac:dyDescent="0.25">
      <c r="A15" s="16"/>
      <c r="B15" s="51" t="s">
        <v>28</v>
      </c>
      <c r="C15" s="52">
        <v>46111</v>
      </c>
      <c r="D15" s="49" t="s">
        <v>20</v>
      </c>
      <c r="E15" s="53" t="s">
        <v>21</v>
      </c>
      <c r="F15" s="49" t="s">
        <v>29</v>
      </c>
      <c r="G15" s="54">
        <v>131890.5</v>
      </c>
      <c r="H15" s="50">
        <v>0.15</v>
      </c>
      <c r="I15" s="55">
        <v>6594.5250000000005</v>
      </c>
      <c r="J15" s="35">
        <v>1648.6312500000001</v>
      </c>
    </row>
    <row r="16" spans="1:10" x14ac:dyDescent="0.25">
      <c r="A16" s="16"/>
      <c r="B16" s="58"/>
      <c r="C16" s="59"/>
      <c r="D16" s="58"/>
      <c r="E16" s="60"/>
      <c r="F16" s="61"/>
      <c r="G16" s="62">
        <f>SUM(G12:G15)</f>
        <v>151733.70000000001</v>
      </c>
      <c r="H16" s="63"/>
      <c r="I16" s="62">
        <f>SUM(I12:I15)</f>
        <v>9571.005000000001</v>
      </c>
      <c r="J16" s="105">
        <f>SUM(J12:J15)</f>
        <v>2392.7512500000003</v>
      </c>
    </row>
    <row r="17" spans="1:10" x14ac:dyDescent="0.25">
      <c r="A17" s="16"/>
      <c r="B17" s="42"/>
      <c r="C17" s="43"/>
      <c r="D17" s="44"/>
      <c r="E17" s="45"/>
      <c r="F17" s="45"/>
      <c r="G17" s="46"/>
      <c r="H17" s="47"/>
      <c r="I17" s="46"/>
      <c r="J17" s="16"/>
    </row>
    <row r="18" spans="1:10" ht="20.25" x14ac:dyDescent="0.25">
      <c r="A18" s="16"/>
      <c r="B18" s="112" t="s">
        <v>30</v>
      </c>
      <c r="C18" s="113"/>
      <c r="D18" s="113"/>
      <c r="E18" s="113"/>
      <c r="F18" s="113"/>
      <c r="G18" s="113"/>
      <c r="H18" s="113"/>
      <c r="I18" s="114"/>
      <c r="J18" s="25">
        <v>1</v>
      </c>
    </row>
    <row r="19" spans="1:10" x14ac:dyDescent="0.25">
      <c r="A19" s="16"/>
      <c r="B19" s="19"/>
      <c r="C19" s="64"/>
      <c r="D19" s="21"/>
      <c r="E19" s="22"/>
      <c r="F19" s="23"/>
      <c r="G19" s="19" t="s">
        <v>10</v>
      </c>
      <c r="H19" s="24" t="s">
        <v>9</v>
      </c>
      <c r="I19" s="24" t="s">
        <v>10</v>
      </c>
      <c r="J19" s="26" t="s">
        <v>11</v>
      </c>
    </row>
    <row r="20" spans="1:10" x14ac:dyDescent="0.25">
      <c r="A20" s="16"/>
      <c r="B20" s="65"/>
      <c r="C20" s="66"/>
      <c r="D20" s="65"/>
      <c r="E20" s="67" t="s">
        <v>31</v>
      </c>
      <c r="F20" s="68"/>
      <c r="G20" s="69">
        <f>G8</f>
        <v>22052.400000000001</v>
      </c>
      <c r="H20" s="70">
        <v>0.1</v>
      </c>
      <c r="I20" s="69">
        <f>I8</f>
        <v>2205.2400000000002</v>
      </c>
      <c r="J20" s="106">
        <f>J8</f>
        <v>330.786</v>
      </c>
    </row>
    <row r="21" spans="1:10" x14ac:dyDescent="0.25">
      <c r="A21" s="16"/>
      <c r="B21" s="71"/>
      <c r="C21" s="72"/>
      <c r="D21" s="73"/>
      <c r="E21" s="67" t="s">
        <v>32</v>
      </c>
      <c r="F21" s="68"/>
      <c r="G21" s="69">
        <f>G16</f>
        <v>151733.70000000001</v>
      </c>
      <c r="H21" s="70">
        <v>0.15</v>
      </c>
      <c r="I21" s="69">
        <f>I16</f>
        <v>9571.005000000001</v>
      </c>
      <c r="J21" s="106">
        <f>J16</f>
        <v>2392.7512500000003</v>
      </c>
    </row>
    <row r="22" spans="1:10" x14ac:dyDescent="0.25">
      <c r="A22" s="16"/>
      <c r="B22" s="74"/>
      <c r="C22" s="75"/>
      <c r="D22" s="74"/>
      <c r="E22" s="76"/>
      <c r="F22" s="77"/>
      <c r="G22" s="78">
        <f>SUM(G20:G21)</f>
        <v>173786.1</v>
      </c>
      <c r="H22" s="79">
        <v>0.125</v>
      </c>
      <c r="I22" s="78">
        <f>SUM(I20:I21)</f>
        <v>11776.245000000001</v>
      </c>
      <c r="J22" s="107">
        <f>SUM(J20:J21)</f>
        <v>2723.5372500000003</v>
      </c>
    </row>
    <row r="23" spans="1:10" x14ac:dyDescent="0.25">
      <c r="A23" s="16"/>
      <c r="B23" s="80"/>
      <c r="C23" s="81"/>
      <c r="D23" s="82"/>
      <c r="E23" s="83"/>
      <c r="F23" s="83"/>
      <c r="G23" s="84"/>
      <c r="H23" s="85"/>
      <c r="I23" s="84"/>
      <c r="J23" s="16"/>
    </row>
    <row r="24" spans="1:10" x14ac:dyDescent="0.25">
      <c r="A24" s="16"/>
      <c r="B24" s="86"/>
      <c r="C24" s="87"/>
      <c r="D24" s="88"/>
      <c r="E24" s="89"/>
      <c r="F24" s="90"/>
      <c r="G24" s="91"/>
      <c r="H24" s="92"/>
      <c r="I24" s="7"/>
      <c r="J24" s="16"/>
    </row>
    <row r="25" spans="1:10" x14ac:dyDescent="0.25">
      <c r="A25" s="16"/>
      <c r="B25" s="91"/>
      <c r="C25" s="93"/>
      <c r="D25" s="91"/>
      <c r="E25" s="94"/>
      <c r="F25" s="95"/>
      <c r="G25" s="91"/>
      <c r="H25" s="92"/>
      <c r="I25" s="91"/>
      <c r="J25" s="16"/>
    </row>
    <row r="26" spans="1:10" x14ac:dyDescent="0.25">
      <c r="A26" s="16"/>
      <c r="B26" s="91"/>
      <c r="C26" s="93"/>
      <c r="D26" s="91"/>
      <c r="E26" s="96"/>
      <c r="F26" s="97"/>
      <c r="G26" s="91"/>
      <c r="H26" s="92"/>
      <c r="I26" s="91"/>
      <c r="J26" s="16"/>
    </row>
    <row r="27" spans="1:10" x14ac:dyDescent="0.25">
      <c r="A27" s="98"/>
      <c r="B27" s="115" t="s">
        <v>33</v>
      </c>
      <c r="C27" s="115"/>
      <c r="D27" s="115"/>
      <c r="E27" s="115"/>
      <c r="F27" s="2"/>
      <c r="G27" s="8"/>
      <c r="H27" s="8"/>
      <c r="I27" s="8"/>
      <c r="J27" s="16"/>
    </row>
    <row r="28" spans="1:10" x14ac:dyDescent="0.25">
      <c r="A28" s="98"/>
      <c r="B28" s="99" t="s">
        <v>34</v>
      </c>
      <c r="C28" s="116" t="s">
        <v>35</v>
      </c>
      <c r="D28" s="117"/>
      <c r="E28" s="99" t="s">
        <v>10</v>
      </c>
      <c r="F28" s="2"/>
      <c r="G28" s="8"/>
      <c r="H28" s="8"/>
      <c r="I28" s="8"/>
      <c r="J28" s="16"/>
    </row>
    <row r="29" spans="1:10" x14ac:dyDescent="0.25">
      <c r="A29" s="98"/>
      <c r="B29" s="100">
        <v>1</v>
      </c>
      <c r="C29" s="101" t="s">
        <v>11</v>
      </c>
      <c r="D29" s="102"/>
      <c r="E29" s="103">
        <f>J22</f>
        <v>2723.5372500000003</v>
      </c>
      <c r="F29" s="2"/>
      <c r="G29" s="104"/>
      <c r="H29" s="8"/>
      <c r="I29" s="8"/>
      <c r="J29" s="16"/>
    </row>
    <row r="30" spans="1:10" x14ac:dyDescent="0.25">
      <c r="A30" s="16"/>
      <c r="B30" s="108"/>
      <c r="C30" s="109"/>
      <c r="D30" s="110"/>
      <c r="E30" s="111">
        <f>SUM(E29:E29)</f>
        <v>2723.5372500000003</v>
      </c>
      <c r="F30" s="48"/>
      <c r="G30" s="7"/>
      <c r="H30" s="8"/>
      <c r="I30" s="7"/>
      <c r="J30" s="16"/>
    </row>
  </sheetData>
  <mergeCells count="5">
    <mergeCell ref="C28:D28"/>
    <mergeCell ref="B5:I5"/>
    <mergeCell ref="B10:I10"/>
    <mergeCell ref="B18:I18"/>
    <mergeCell ref="B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Armando Gálvez Martínez</dc:creator>
  <cp:lastModifiedBy>Jorge Armando Gálvez Martínez</cp:lastModifiedBy>
  <dcterms:created xsi:type="dcterms:W3CDTF">2026-10-02T18:39:51Z</dcterms:created>
  <dcterms:modified xsi:type="dcterms:W3CDTF">2026-10-02T18:42:57Z</dcterms:modified>
</cp:coreProperties>
</file>