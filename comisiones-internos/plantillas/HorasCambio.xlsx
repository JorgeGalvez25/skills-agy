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jorge\Dropbox\MTTO\Reportes Mensuales\Comisiones\2026\202608-Agosto\CambiosInternos\"/>
    </mc:Choice>
  </mc:AlternateContent>
  <xr:revisionPtr revIDLastSave="0" documentId="13_ncr:1_{4AD68B64-65D0-415E-8CD4-31B9EA6419FF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2" i="1" l="1"/>
  <c r="F18" i="1" s="1"/>
  <c r="H18" i="1" s="1"/>
  <c r="I18" i="1" s="1"/>
  <c r="J18" i="1" l="1"/>
  <c r="K18" i="1"/>
</calcChain>
</file>

<file path=xl/sharedStrings.xml><?xml version="1.0" encoding="utf-8"?>
<sst xmlns="http://schemas.openxmlformats.org/spreadsheetml/2006/main" count="32" uniqueCount="21">
  <si>
    <t>Tareas de Proyectos</t>
  </si>
  <si>
    <t>Descripción</t>
  </si>
  <si>
    <t>Horas trabajadas</t>
  </si>
  <si>
    <t>Analisis</t>
  </si>
  <si>
    <t>Análisis</t>
  </si>
  <si>
    <t>Codificación</t>
  </si>
  <si>
    <t>Codificación API</t>
  </si>
  <si>
    <t>Codificación y entrega API liquidaciones</t>
  </si>
  <si>
    <t>Consulta soporte api liquidaciones</t>
  </si>
  <si>
    <t>Codificación y entrega</t>
  </si>
  <si>
    <t>Revisión de base de datos</t>
  </si>
  <si>
    <t>Revisión de código</t>
  </si>
  <si>
    <t>Total codificación</t>
  </si>
  <si>
    <t>Desarrollador</t>
  </si>
  <si>
    <t>Miguel Armenta</t>
  </si>
  <si>
    <t>Horas Desarrollo y pruebas unitarias</t>
  </si>
  <si>
    <t>Costo Hora</t>
  </si>
  <si>
    <t>Importe Total</t>
  </si>
  <si>
    <t>Comisión 15%</t>
  </si>
  <si>
    <t>Programador 75%</t>
  </si>
  <si>
    <t>Adm. 25%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</si>
</sst>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sz val="11"/>
      <color rgb="FF000000"/>
      <name val="Calibri"/>
    </font>
    <font>
      <b/>
      <sz val="11"/>
      <color rgb="FFFFFFFF"/>
      <name val="Calibri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5B9BD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NumberFormat="1" applyFont="1" applyFill="1" applyBorder="1"/>
    <xf numFmtId="0" fontId="2" fillId="2" borderId="0" xfId="0" applyNumberFormat="1" applyFont="1" applyFill="1" applyBorder="1"/>
    <xf numFmtId="0" fontId="2" fillId="2" borderId="0" xfId="0" applyNumberFormat="1" applyFont="1" applyFill="1" applyBorder="1" applyAlignment="1">
      <alignment vertical="center"/>
    </xf>
    <xf numFmtId="0" fontId="1" fillId="0" borderId="0" xfId="0" applyNumberFormat="1" applyFont="1" applyFill="1" applyBorder="1" applyAlignment="1">
      <alignment wrapText="1"/>
    </xf>
    <xf numFmtId="2" fontId="1" fillId="0" borderId="0" xfId="0" applyNumberFormat="1" applyFont="1" applyFill="1" applyBorder="1"/>
    <xf numFmtId="0" fontId="3" fillId="0" borderId="0" xfId="0" applyNumberFormat="1" applyFont="1" applyFill="1" applyBorder="1" applyAlignment="1">
      <alignment horizontal="right"/>
    </xf>
    <xf numFmtId="9" fontId="1" fillId="0" borderId="0" xfId="0" applyNumberFormat="1" applyFont="1" applyFill="1" applyBorder="1"/>
    <xf numFmtId="2" fontId="3" fillId="0" borderId="0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8"/>
  <sheetViews>
    <sheetView tabSelected="1" workbookViewId="0">
      <selection activeCell="C21" sqref="C21"/>
    </sheetView>
  </sheetViews>
  <sheetFormatPr baseColWidth="10" defaultColWidth="9" defaultRowHeight="14.25"/>
  <cols>
    <col min="1" max="1" width="20.75" customWidth="1"/>
    <col min="2" max="2" width="87.375" customWidth="1"/>
    <col min="3" max="3" width="17.75" customWidth="1"/>
    <col min="4" max="4" width="9.125" customWidth="1"/>
    <col min="5" max="5" width="13" customWidth="1"/>
    <col min="6" max="6" width="34.875" customWidth="1"/>
    <col min="7" max="7" width="12.875" customWidth="1"/>
    <col min="8" max="8" width="15.25" customWidth="1"/>
    <col min="9" max="9" width="15.625" customWidth="1"/>
    <col min="10" max="10" width="18.875" customWidth="1"/>
    <col min="11" max="11" width="12" customWidth="1"/>
  </cols>
  <sheetData>
    <row r="1" spans="1:11" ht="15">
      <c r="A1" s="3" t="s">
        <v>0</v>
      </c>
      <c r="B1" s="3" t="s">
        <v>1</v>
      </c>
      <c r="C1" s="3" t="s">
        <v>2</v>
      </c>
      <c r="D1" s="1"/>
      <c r="E1" s="1"/>
      <c r="F1" s="1"/>
      <c r="G1" s="1"/>
      <c r="H1" s="1"/>
      <c r="I1" s="1"/>
      <c r="J1" s="1"/>
      <c r="K1" s="1"/>
    </row>
    <row r="2" spans="1:11" ht="15">
      <c r="A2" s="1" t="s">
        <v>3</v>
      </c>
      <c r="B2" s="4" t="s">
        <v>4</v>
      </c>
      <c r="C2" s="5">
        <v>0.5</v>
      </c>
      <c r="D2" s="1"/>
      <c r="E2" s="1"/>
      <c r="F2" s="1"/>
      <c r="G2" s="1"/>
      <c r="H2" s="1"/>
      <c r="I2" s="1"/>
      <c r="J2" s="1"/>
      <c r="K2" s="1"/>
    </row>
    <row r="3" spans="1:11" ht="15">
      <c r="A3" s="1" t="s">
        <v>5</v>
      </c>
      <c r="B3" s="4" t="s">
        <v>6</v>
      </c>
      <c r="C3" s="5">
        <v>1</v>
      </c>
      <c r="D3" s="1"/>
      <c r="E3" s="1"/>
      <c r="F3" s="1"/>
      <c r="G3" s="1"/>
      <c r="H3" s="1"/>
      <c r="I3" s="1"/>
      <c r="J3" s="1"/>
      <c r="K3" s="1"/>
    </row>
    <row r="4" spans="1:11" ht="15">
      <c r="A4" s="1" t="s">
        <v>5</v>
      </c>
      <c r="B4" s="4" t="s">
        <v>7</v>
      </c>
      <c r="C4" s="5">
        <v>1</v>
      </c>
      <c r="D4" s="1"/>
      <c r="E4" s="1"/>
      <c r="F4" s="1"/>
      <c r="G4" s="1"/>
      <c r="H4" s="1"/>
      <c r="I4" s="1"/>
      <c r="J4" s="1"/>
      <c r="K4" s="1"/>
    </row>
    <row r="5" spans="1:11" ht="15">
      <c r="A5" s="1" t="s">
        <v>3</v>
      </c>
      <c r="B5" s="4" t="s">
        <v>8</v>
      </c>
      <c r="C5" s="5">
        <v>0.5</v>
      </c>
      <c r="D5" s="1"/>
      <c r="E5" s="1"/>
      <c r="F5" s="1"/>
      <c r="G5" s="1"/>
      <c r="H5" s="1"/>
      <c r="I5" s="1"/>
      <c r="J5" s="1"/>
      <c r="K5" s="1"/>
    </row>
    <row r="6" spans="1:11" ht="15">
      <c r="A6" s="1" t="s">
        <v>5</v>
      </c>
      <c r="B6" s="4" t="s">
        <v>9</v>
      </c>
      <c r="C6" s="5">
        <v>0.25</v>
      </c>
      <c r="D6" s="1"/>
      <c r="E6" s="1"/>
      <c r="F6" s="1"/>
      <c r="G6" s="1"/>
      <c r="H6" s="1"/>
      <c r="I6" s="1"/>
      <c r="J6" s="1"/>
      <c r="K6" s="1"/>
    </row>
    <row r="7" spans="1:11" ht="15">
      <c r="A7" s="1" t="s">
        <v>5</v>
      </c>
      <c r="B7" s="4" t="s">
        <v>9</v>
      </c>
      <c r="C7" s="5">
        <v>0.25</v>
      </c>
      <c r="D7" s="1"/>
      <c r="E7" s="1"/>
      <c r="F7" s="1"/>
      <c r="G7" s="1"/>
      <c r="H7" s="1"/>
      <c r="I7" s="1"/>
      <c r="J7" s="1"/>
      <c r="K7" s="1"/>
    </row>
    <row r="8" spans="1:11" ht="15">
      <c r="A8" s="1" t="s">
        <v>3</v>
      </c>
      <c r="B8" s="4" t="s">
        <v>10</v>
      </c>
      <c r="C8" s="5">
        <v>0.5</v>
      </c>
      <c r="D8" s="1"/>
      <c r="E8" s="1"/>
      <c r="F8" s="1"/>
      <c r="G8" s="1"/>
      <c r="H8" s="1"/>
      <c r="I8" s="1"/>
      <c r="J8" s="1"/>
      <c r="K8" s="1"/>
    </row>
    <row r="9" spans="1:11" ht="15">
      <c r="A9" s="1" t="s">
        <v>5</v>
      </c>
      <c r="B9" s="4" t="s">
        <v>9</v>
      </c>
      <c r="C9" s="5">
        <v>1</v>
      </c>
      <c r="D9" s="1"/>
      <c r="E9" s="1"/>
      <c r="F9" s="1"/>
      <c r="G9" s="1"/>
      <c r="H9" s="1"/>
      <c r="I9" s="1"/>
      <c r="J9" s="1"/>
      <c r="K9" s="1"/>
    </row>
    <row r="10" spans="1:11" ht="15">
      <c r="A10" s="1" t="s">
        <v>3</v>
      </c>
      <c r="B10" s="4" t="s">
        <v>11</v>
      </c>
      <c r="C10" s="5">
        <v>0.25</v>
      </c>
      <c r="D10" s="1"/>
      <c r="E10" s="1"/>
      <c r="F10" s="1"/>
      <c r="G10" s="1"/>
      <c r="H10" s="1"/>
      <c r="I10" s="1"/>
      <c r="J10" s="1"/>
      <c r="K10" s="1"/>
    </row>
    <row r="11" spans="1:11" ht="15">
      <c r="A11" s="1" t="s">
        <v>5</v>
      </c>
      <c r="B11" s="4" t="s">
        <v>9</v>
      </c>
      <c r="C11" s="5">
        <v>1</v>
      </c>
      <c r="D11" s="1"/>
      <c r="E11" s="1"/>
      <c r="F11" s="1"/>
      <c r="G11" s="1"/>
      <c r="H11" s="1"/>
      <c r="I11" s="1"/>
      <c r="J11" s="1"/>
      <c r="K11" s="1"/>
    </row>
    <row r="12" spans="1:11" ht="15">
      <c r="A12" s="1"/>
      <c r="B12" s="6" t="s">
        <v>12</v>
      </c>
      <c r="C12" s="5">
        <f>SUMIF(A2:A11,"Codificación",C2:C11)+SUMIF(A2:A11,"Codificacion",C2:C11)</f>
        <v>4.5</v>
      </c>
      <c r="D12" s="1"/>
      <c r="E12" s="1"/>
      <c r="F12" s="1"/>
      <c r="G12" s="1"/>
      <c r="H12" s="1"/>
      <c r="I12" s="1"/>
      <c r="J12" s="1"/>
      <c r="K12" s="1"/>
    </row>
    <row r="13" spans="1:11" ht="15">
      <c r="A13" s="1"/>
      <c r="B13" s="6"/>
      <c r="C13" s="7"/>
      <c r="D13" s="1"/>
      <c r="E13" s="1"/>
      <c r="F13" s="2" t="s">
        <v>13</v>
      </c>
      <c r="G13" s="1"/>
      <c r="H13" s="1"/>
      <c r="I13" s="1"/>
      <c r="J13" s="1"/>
      <c r="K13" s="1"/>
    </row>
    <row r="14" spans="1:11" ht="15">
      <c r="A14" s="1"/>
      <c r="B14" s="1"/>
      <c r="C14" s="1"/>
      <c r="D14" s="1"/>
      <c r="E14" s="1"/>
      <c r="F14" s="1" t="s">
        <v>14</v>
      </c>
      <c r="G14" s="1"/>
      <c r="H14" s="1"/>
      <c r="I14" s="1"/>
      <c r="J14" s="1"/>
      <c r="K14" s="1"/>
    </row>
    <row r="15" spans="1:11" ht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</row>
    <row r="16" spans="1:11" ht="1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</row>
    <row r="17" spans="1:11" ht="15">
      <c r="A17" s="1"/>
      <c r="B17" s="1"/>
      <c r="C17" s="1"/>
      <c r="D17" s="1"/>
      <c r="E17" s="1"/>
      <c r="F17" s="3" t="s">
        <v>15</v>
      </c>
      <c r="G17" s="3" t="s">
        <v>16</v>
      </c>
      <c r="H17" s="3" t="s">
        <v>17</v>
      </c>
      <c r="I17" s="3" t="s">
        <v>18</v>
      </c>
      <c r="J17" s="3" t="s">
        <v>19</v>
      </c>
      <c r="K17" s="3" t="s">
        <v>20</v>
      </c>
    </row>
    <row r="18" spans="1:11" ht="15">
      <c r="A18" s="1"/>
      <c r="B18" s="1"/>
      <c r="C18" s="1"/>
      <c r="D18" s="1"/>
      <c r="E18" s="1"/>
      <c r="F18" s="8">
        <f>C12*(1-C13)</f>
        <v>4.5</v>
      </c>
      <c r="G18" s="5">
        <v>954</v>
      </c>
      <c r="H18" s="5">
        <f>F18*G18</f>
        <v>4293</v>
      </c>
      <c r="I18" s="5">
        <f>H18*0.15</f>
        <v>643.94999999999993</v>
      </c>
      <c r="J18" s="5">
        <f>I18*0.75</f>
        <v>482.96249999999998</v>
      </c>
      <c r="K18" s="5">
        <f>I18*0.25</f>
        <v>160.98749999999998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Jorge Armando Gálvez Martínez</cp:lastModifiedBy>
  <dcterms:modified xsi:type="dcterms:W3CDTF">2026-09-23T17:13:33Z</dcterms:modified>
</cp:coreProperties>
</file>